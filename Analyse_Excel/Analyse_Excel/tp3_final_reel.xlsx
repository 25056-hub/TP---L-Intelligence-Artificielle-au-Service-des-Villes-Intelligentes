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nnées" sheetId="1" state="visible" r:id="rId3"/>
    <sheet name="Analyse" sheetId="2" state="visible" r:id="rId4"/>
    <sheet name="Interprét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<sst xmlns="http://schemas.openxmlformats.org/spreadsheetml/2006/main" count="189" uniqueCount="75">
  <si>
    <t xml:space="preserve">Enquête — L'IA dans les Villes Intelligentes — Données réelles</t>
  </si>
  <si>
    <t xml:space="preserve">17 réponses collectées via Google Forms — 9/03/2026</t>
  </si>
  <si>
    <t xml:space="preserve">N°</t>
  </si>
  <si>
    <t xml:space="preserve">Statut</t>
  </si>
  <si>
    <t xml:space="preserve">Tranche d'âge</t>
  </si>
  <si>
    <t xml:space="preserve">Ville</t>
  </si>
  <si>
    <t xml:space="preserve">Importance IA (1–5)</t>
  </si>
  <si>
    <t xml:space="preserve">Connaissance Smart Cities</t>
  </si>
  <si>
    <t xml:space="preserve">Domaines prioritaires</t>
  </si>
  <si>
    <t xml:space="preserve">Score Trafic</t>
  </si>
  <si>
    <t xml:space="preserve">Score Énergie</t>
  </si>
  <si>
    <t xml:space="preserve">Score Sécurité</t>
  </si>
  <si>
    <t xml:space="preserve">Etudiant</t>
  </si>
  <si>
    <t xml:space="preserve">18–25 ans</t>
  </si>
  <si>
    <t xml:space="preserve">Alger</t>
  </si>
  <si>
    <t xml:space="preserve">Oui</t>
  </si>
  <si>
    <t xml:space="preserve">Trafic</t>
  </si>
  <si>
    <t xml:space="preserve">1</t>
  </si>
  <si>
    <t xml:space="preserve">Autre</t>
  </si>
  <si>
    <t xml:space="preserve">Énergie;Sécurité</t>
  </si>
  <si>
    <t xml:space="preserve">3</t>
  </si>
  <si>
    <t xml:space="preserve">2</t>
  </si>
  <si>
    <t xml:space="preserve">NKTT</t>
  </si>
  <si>
    <t xml:space="preserve">Non</t>
  </si>
  <si>
    <t xml:space="preserve">—</t>
  </si>
  <si>
    <t xml:space="preserve">Trafic;Énergie</t>
  </si>
  <si>
    <t xml:space="preserve">4</t>
  </si>
  <si>
    <t xml:space="preserve">Moins de 18 ans</t>
  </si>
  <si>
    <t xml:space="preserve">Énergie</t>
  </si>
  <si>
    <t xml:space="preserve">5</t>
  </si>
  <si>
    <t xml:space="preserve">NDB</t>
  </si>
  <si>
    <t xml:space="preserve">Ensseignant</t>
  </si>
  <si>
    <t xml:space="preserve">Trafic;Sécurité</t>
  </si>
  <si>
    <t xml:space="preserve">26–35 ans</t>
  </si>
  <si>
    <t xml:space="preserve">AYOUN</t>
  </si>
  <si>
    <t xml:space="preserve">Urbanisme</t>
  </si>
  <si>
    <t xml:space="preserve">Trafic;Sécurité;Déchets</t>
  </si>
  <si>
    <t xml:space="preserve">ROSSO</t>
  </si>
  <si>
    <t xml:space="preserve">Trafic;Déchets;Urbanisme</t>
  </si>
  <si>
    <t xml:space="preserve">1;2;3;4</t>
  </si>
  <si>
    <t xml:space="preserve">1;2;3</t>
  </si>
  <si>
    <t xml:space="preserve">Trafic;Énergie;Sécurité;Déchets;Urbanisme</t>
  </si>
  <si>
    <t xml:space="preserve">Analyse des résultats — Enquête IA &amp; Villes Intelligentes</t>
  </si>
  <si>
    <t xml:space="preserve">1. Analyse numérique : Importance accordée à l'IA (échelle 1–5)</t>
  </si>
  <si>
    <t xml:space="preserve">Indicateur</t>
  </si>
  <si>
    <t xml:space="preserve">Valeur</t>
  </si>
  <si>
    <t xml:space="preserve">Formule Excel</t>
  </si>
  <si>
    <t xml:space="preserve">Nombre de réponses</t>
  </si>
  <si>
    <t xml:space="preserve">Minimum</t>
  </si>
  <si>
    <t xml:space="preserve">Maximum</t>
  </si>
  <si>
    <t xml:space="preserve">Moyenne</t>
  </si>
  <si>
    <t xml:space="preserve">2. Analyse catégorielle : Connaissance des Smart Cities</t>
  </si>
  <si>
    <t xml:space="preserve">Réponse</t>
  </si>
  <si>
    <t xml:space="preserve">Nombre</t>
  </si>
  <si>
    <t xml:space="preserve">Pourcentage (%)</t>
  </si>
  <si>
    <t xml:space="preserve">TOTAL</t>
  </si>
  <si>
    <t xml:space="preserve">3. Analyse catégorielle : Domaines prioritaires</t>
  </si>
  <si>
    <t xml:space="preserve">Domaine</t>
  </si>
  <si>
    <t xml:space="preserve">Nombre de citations</t>
  </si>
  <si>
    <t xml:space="preserve">Sécurité</t>
  </si>
  <si>
    <t xml:space="preserve">Déchets</t>
  </si>
  <si>
    <t xml:space="preserve">Interprétation des résultats</t>
  </si>
  <si>
    <t xml:space="preserve">5 points d'analyse — basés sur les 17 réponses réelles collectées</t>
  </si>
  <si>
    <t xml:space="preserve">Point d'analyse</t>
  </si>
  <si>
    <t xml:space="preserve">Contenu</t>
  </si>
  <si>
    <t xml:space="preserve">Tendance principale</t>
  </si>
  <si>
    <t xml:space="preserve">Sur 17 répondants, 14 (82%) connaissent déjà le concept de ville intelligente. Cela reflète une sensibilisation élevée au sujet, notamment chez les étudiants qui constituent la majorité des répondants.</t>
  </si>
  <si>
    <t xml:space="preserve">Réponse majoritaire</t>
  </si>
  <si>
    <t xml:space="preserve">Le domaine jugé le plus prioritaire est 'Trafic' avec 8 citations. Cela correspond aux besoins les plus visibles au quotidien dans les villes mauritaniennes.</t>
  </si>
  <si>
    <t xml:space="preserve">Score moyen d'importance</t>
  </si>
  <si>
    <t xml:space="preserve">L'importance accordée à l'IA dans les villes obtient une moyenne de 3.59/5 (min: 2, max: 5), indiquant un niveau élevé de confiance dans le potentiel de cette technologie.</t>
  </si>
  <si>
    <t xml:space="preserve">Profil des répondants</t>
  </si>
  <si>
    <t xml:space="preserve">Le groupe est majoritairement composé d'étudiants de 18–25 ans résidant à Nouakchott (NKTT), ce qui peut introduire un biais géographique et générationnel vers des opinions plus favorables aux technologies numériques.</t>
  </si>
  <si>
    <t xml:space="preserve">Conclusion</t>
  </si>
  <si>
    <t xml:space="preserve">Les résultats confirment que l'IA est perçue comme une solution pertinente aux défis urbains en Mauritanie. La forte connaissance des Smart Cities et les scores élevés d'importance suggèrent un terrain favorable pour l'adoption de ces technologies, sous réserve de répondre aux préoccupations de sécurité et de vie privée.</t>
  </si>
</sst>
</file>

<file path=xl/styles.xml><?xml version="1.0" encoding="utf-8"?>
<styleSheet xmlns="http://schemas.openxmlformats.org/spreadsheetml/2006/main">
  <numFmts count="4">
    <numFmt numFmtId="164" formatCode="General"/>
    <numFmt numFmtId="165" formatCode="General"/>
    <numFmt numFmtId="166" formatCode="0.0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3"/>
      <color rgb="FF1B4F72"/>
      <name val="Arial"/>
      <family val="0"/>
      <charset val="1"/>
    </font>
    <font>
      <i val="true"/>
      <sz val="9"/>
      <color rgb="FF666666"/>
      <name val="Arial"/>
      <family val="0"/>
      <charset val="1"/>
    </font>
    <font>
      <b val="true"/>
      <sz val="11"/>
      <color rgb="FFFFFFFF"/>
      <name val="Arial"/>
      <family val="0"/>
      <charset val="1"/>
    </font>
    <font>
      <sz val="10"/>
      <name val="Arial"/>
      <family val="0"/>
      <charset val="1"/>
    </font>
    <font>
      <b val="true"/>
      <sz val="11"/>
      <color rgb="FF1B4F72"/>
      <name val="Arial"/>
      <family val="0"/>
      <charset val="1"/>
    </font>
    <font>
      <b val="true"/>
      <sz val="10"/>
      <name val="Arial"/>
      <family val="0"/>
      <charset val="1"/>
    </font>
    <font>
      <sz val="9"/>
      <color rgb="FF1E8449"/>
      <name val="Courier New"/>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B4F72"/>
        <bgColor rgb="FF333399"/>
      </patternFill>
    </fill>
    <fill>
      <patternFill patternType="solid">
        <fgColor rgb="FFFFFFFF"/>
        <bgColor rgb="FFF9F9F9"/>
      </patternFill>
    </fill>
    <fill>
      <patternFill patternType="solid">
        <fgColor rgb="FFD6E4F0"/>
        <bgColor rgb="FFD9D9D9"/>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5" fontId="10" fillId="3"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5" fontId="10" fillId="4" borderId="1" xfId="0" applyFont="true" applyBorder="true" applyAlignment="true" applyProtection="false">
      <alignment horizontal="left"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7" fontId="9"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78787"/>
      <rgbColor rgb="FF9999FF"/>
      <rgbColor rgb="FF993366"/>
      <rgbColor rgb="FFF9F9F9"/>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86C1"/>
      <rgbColor rgb="FF33CCCC"/>
      <rgbColor rgb="FF99CC00"/>
      <rgbColor rgb="FFFFCC00"/>
      <rgbColor rgb="FFFF9900"/>
      <rgbColor rgb="FFFF6600"/>
      <rgbColor rgb="FF666666"/>
      <rgbColor rgb="FFAAAAAA"/>
      <rgbColor rgb="FF1B4F72"/>
      <rgbColor rgb="FF1E8449"/>
      <rgbColor rgb="FF003300"/>
      <rgbColor rgb="FF333300"/>
      <rgbColor rgb="FF922B2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Connaissance des Smart Cities (Oui / Non)</a:t>
            </a:r>
          </a:p>
        </c:rich>
      </c:tx>
      <c:overlay val="0"/>
      <c:spPr>
        <a:noFill/>
        <a:ln w="0">
          <a:noFill/>
        </a:ln>
      </c:spPr>
    </c:title>
    <c:autoTitleDeleted val="0"/>
    <c:plotArea>
      <c:pieChart>
        <c:varyColors val="1"/>
        <c:ser>
          <c:idx val="0"/>
          <c:order val="0"/>
          <c:tx>
            <c:strRef>
              <c:f>Analyse!B12</c:f>
              <c:strCache>
                <c:ptCount val="1"/>
                <c:pt idx="0">
                  <c:v>Nombre</c:v>
                </c:pt>
              </c:strCache>
            </c:strRef>
          </c:tx>
          <c:spPr>
            <a:solidFill>
              <a:srgbClr val="4f81bd"/>
            </a:solidFill>
            <a:ln w="9360">
              <a:solidFill>
                <a:srgbClr val="f9f9f9"/>
              </a:solidFill>
              <a:round/>
            </a:ln>
          </c:spPr>
          <c:explosion val="0"/>
          <c:dPt>
            <c:idx val="0"/>
            <c:spPr>
              <a:solidFill>
                <a:srgbClr val="2e86c1"/>
              </a:solidFill>
              <a:ln w="9360">
                <a:solidFill>
                  <a:srgbClr val="f9f9f9"/>
                </a:solidFill>
                <a:round/>
              </a:ln>
            </c:spPr>
          </c:dPt>
          <c:dPt>
            <c:idx val="1"/>
            <c:spPr>
              <a:solidFill>
                <a:srgbClr val="922b21"/>
              </a:solidFill>
              <a:ln w="9360">
                <a:solidFill>
                  <a:srgbClr val="f9f9f9"/>
                </a:solidFill>
                <a:round/>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Analyse!$A$13:$A$14</c:f>
              <c:strCache>
                <c:ptCount val="2"/>
                <c:pt idx="0">
                  <c:v>Oui</c:v>
                </c:pt>
                <c:pt idx="1">
                  <c:v>Non</c:v>
                </c:pt>
              </c:strCache>
            </c:strRef>
          </c:cat>
          <c:val>
            <c:numRef>
              <c:f>Analyse!$B$13:$B$14</c:f>
              <c:numCache>
                <c:formatCode>General</c:formatCode>
                <c:ptCount val="2"/>
                <c:pt idx="0">
                  <c:v>14</c:v>
                </c:pt>
                <c:pt idx="1">
                  <c:v>3</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Domaines prioritaires selon les répondants</a:t>
            </a:r>
          </a:p>
        </c:rich>
      </c:tx>
      <c:overlay val="0"/>
      <c:spPr>
        <a:noFill/>
        <a:ln w="0">
          <a:noFill/>
        </a:ln>
      </c:spPr>
    </c:title>
    <c:autoTitleDeleted val="0"/>
    <c:plotArea>
      <c:barChart>
        <c:barDir val="col"/>
        <c:grouping val="clustered"/>
        <c:varyColors val="0"/>
        <c:ser>
          <c:idx val="0"/>
          <c:order val="0"/>
          <c:tx>
            <c:strRef>
              <c:f>Analyse!B18</c:f>
              <c:strCache>
                <c:ptCount val="1"/>
                <c:pt idx="0">
                  <c:v>Nombre de citations</c:v>
                </c:pt>
              </c:strCache>
            </c:strRef>
          </c:tx>
          <c:spPr>
            <a:solidFill>
              <a:srgbClr val="1b4f72"/>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Analyse!$A$19:$A$23</c:f>
              <c:strCache>
                <c:ptCount val="5"/>
                <c:pt idx="0">
                  <c:v>Trafic</c:v>
                </c:pt>
                <c:pt idx="1">
                  <c:v>Énergie</c:v>
                </c:pt>
                <c:pt idx="2">
                  <c:v>Sécurité</c:v>
                </c:pt>
                <c:pt idx="3">
                  <c:v>Déchets</c:v>
                </c:pt>
                <c:pt idx="4">
                  <c:v>Urbanisme</c:v>
                </c:pt>
              </c:strCache>
            </c:strRef>
          </c:cat>
          <c:val>
            <c:numRef>
              <c:f>Analyse!$B$19:$B$23</c:f>
              <c:numCache>
                <c:formatCode>General</c:formatCode>
                <c:ptCount val="5"/>
                <c:pt idx="0">
                  <c:v>8</c:v>
                </c:pt>
                <c:pt idx="1">
                  <c:v>8</c:v>
                </c:pt>
                <c:pt idx="2">
                  <c:v>6</c:v>
                </c:pt>
                <c:pt idx="3">
                  <c:v>3</c:v>
                </c:pt>
                <c:pt idx="4">
                  <c:v>3</c:v>
                </c:pt>
              </c:numCache>
            </c:numRef>
          </c:val>
        </c:ser>
        <c:gapWidth val="150"/>
        <c:overlap val="0"/>
        <c:axId val="81729236"/>
        <c:axId val="56730179"/>
      </c:barChart>
      <c:catAx>
        <c:axId val="817292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Domaine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730179"/>
        <c:crosses val="autoZero"/>
        <c:auto val="1"/>
        <c:lblAlgn val="ctr"/>
        <c:lblOffset val="100"/>
        <c:noMultiLvlLbl val="0"/>
      </c:catAx>
      <c:valAx>
        <c:axId val="5673017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Nombre de citations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7292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0</xdr:rowOff>
    </xdr:from>
    <xdr:to>
      <xdr:col>13</xdr:col>
      <xdr:colOff>492120</xdr:colOff>
      <xdr:row>24</xdr:row>
      <xdr:rowOff>128880</xdr:rowOff>
    </xdr:to>
    <xdr:graphicFrame>
      <xdr:nvGraphicFramePr>
        <xdr:cNvPr id="0" name="Chart 1"/>
        <xdr:cNvGraphicFramePr/>
      </xdr:nvGraphicFramePr>
      <xdr:xfrm>
        <a:off x="7753320" y="514440"/>
        <a:ext cx="575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xdr:row>
      <xdr:rowOff>0</xdr:rowOff>
    </xdr:from>
    <xdr:to>
      <xdr:col>14</xdr:col>
      <xdr:colOff>600840</xdr:colOff>
      <xdr:row>38</xdr:row>
      <xdr:rowOff>128520</xdr:rowOff>
    </xdr:to>
    <xdr:graphicFrame>
      <xdr:nvGraphicFramePr>
        <xdr:cNvPr id="1" name="Chart 2"/>
        <xdr:cNvGraphicFramePr/>
      </xdr:nvGraphicFramePr>
      <xdr:xfrm>
        <a:off x="7753320" y="3181320"/>
        <a:ext cx="647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16"/>
    <col collapsed="false" customWidth="true" hidden="false" outlineLevel="0" max="4" min="4" style="0" width="8"/>
    <col collapsed="false" customWidth="true" hidden="false" outlineLevel="0" max="5" min="5" style="0" width="18"/>
    <col collapsed="false" customWidth="true" hidden="false" outlineLevel="0" max="6" min="6" style="0" width="22"/>
    <col collapsed="false" customWidth="true" hidden="false" outlineLevel="0" max="7" min="7" style="0" width="30"/>
    <col collapsed="false" customWidth="true" hidden="false" outlineLevel="0" max="8" min="8" style="0" width="13"/>
    <col collapsed="false" customWidth="true" hidden="false" outlineLevel="0" max="10" min="9" style="0" width="14"/>
  </cols>
  <sheetData>
    <row r="1" customFormat="false" ht="25.5" hidden="false" customHeight="tru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21.7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n">
        <v>1</v>
      </c>
      <c r="B5" s="5" t="s">
        <v>12</v>
      </c>
      <c r="C5" s="5" t="s">
        <v>13</v>
      </c>
      <c r="D5" s="5" t="s">
        <v>14</v>
      </c>
      <c r="E5" s="4" t="n">
        <v>2</v>
      </c>
      <c r="F5" s="4" t="s">
        <v>15</v>
      </c>
      <c r="G5" s="5" t="s">
        <v>16</v>
      </c>
      <c r="H5" s="4" t="s">
        <v>17</v>
      </c>
      <c r="I5" s="4" t="s">
        <v>17</v>
      </c>
      <c r="J5" s="4" t="s">
        <v>17</v>
      </c>
    </row>
    <row r="6" customFormat="false" ht="15" hidden="false" customHeight="false" outlineLevel="0" collapsed="false">
      <c r="A6" s="6" t="n">
        <v>2</v>
      </c>
      <c r="B6" s="7" t="s">
        <v>12</v>
      </c>
      <c r="C6" s="7" t="s">
        <v>13</v>
      </c>
      <c r="D6" s="7" t="s">
        <v>18</v>
      </c>
      <c r="E6" s="6" t="n">
        <v>3</v>
      </c>
      <c r="F6" s="6" t="s">
        <v>15</v>
      </c>
      <c r="G6" s="7" t="s">
        <v>19</v>
      </c>
      <c r="H6" s="6" t="s">
        <v>17</v>
      </c>
      <c r="I6" s="6" t="s">
        <v>20</v>
      </c>
      <c r="J6" s="6" t="s">
        <v>21</v>
      </c>
    </row>
    <row r="7" customFormat="false" ht="15" hidden="false" customHeight="false" outlineLevel="0" collapsed="false">
      <c r="A7" s="4" t="n">
        <v>3</v>
      </c>
      <c r="B7" s="5" t="s">
        <v>12</v>
      </c>
      <c r="C7" s="5" t="s">
        <v>13</v>
      </c>
      <c r="D7" s="5" t="s">
        <v>22</v>
      </c>
      <c r="E7" s="4" t="n">
        <v>2</v>
      </c>
      <c r="F7" s="4" t="s">
        <v>23</v>
      </c>
      <c r="G7" s="5" t="s">
        <v>24</v>
      </c>
      <c r="H7" s="4" t="s">
        <v>24</v>
      </c>
      <c r="I7" s="4" t="s">
        <v>24</v>
      </c>
      <c r="J7" s="4" t="s">
        <v>24</v>
      </c>
    </row>
    <row r="8" customFormat="false" ht="15" hidden="false" customHeight="false" outlineLevel="0" collapsed="false">
      <c r="A8" s="6" t="n">
        <v>4</v>
      </c>
      <c r="B8" s="7" t="s">
        <v>12</v>
      </c>
      <c r="C8" s="7" t="s">
        <v>13</v>
      </c>
      <c r="D8" s="7" t="s">
        <v>22</v>
      </c>
      <c r="E8" s="6" t="n">
        <v>2</v>
      </c>
      <c r="F8" s="6" t="s">
        <v>23</v>
      </c>
      <c r="G8" s="7" t="s">
        <v>24</v>
      </c>
      <c r="H8" s="6" t="s">
        <v>24</v>
      </c>
      <c r="I8" s="6" t="s">
        <v>24</v>
      </c>
      <c r="J8" s="6" t="s">
        <v>24</v>
      </c>
    </row>
    <row r="9" customFormat="false" ht="15" hidden="false" customHeight="false" outlineLevel="0" collapsed="false">
      <c r="A9" s="4" t="n">
        <v>5</v>
      </c>
      <c r="B9" s="5" t="s">
        <v>12</v>
      </c>
      <c r="C9" s="5" t="s">
        <v>13</v>
      </c>
      <c r="D9" s="5" t="s">
        <v>22</v>
      </c>
      <c r="E9" s="4" t="n">
        <v>5</v>
      </c>
      <c r="F9" s="4" t="s">
        <v>15</v>
      </c>
      <c r="G9" s="5" t="s">
        <v>25</v>
      </c>
      <c r="H9" s="4" t="s">
        <v>24</v>
      </c>
      <c r="I9" s="4" t="s">
        <v>26</v>
      </c>
      <c r="J9" s="4" t="s">
        <v>26</v>
      </c>
    </row>
    <row r="10" customFormat="false" ht="15" hidden="false" customHeight="false" outlineLevel="0" collapsed="false">
      <c r="A10" s="6" t="n">
        <v>6</v>
      </c>
      <c r="B10" s="7" t="s">
        <v>12</v>
      </c>
      <c r="C10" s="7" t="s">
        <v>27</v>
      </c>
      <c r="D10" s="7" t="s">
        <v>22</v>
      </c>
      <c r="E10" s="6" t="n">
        <v>5</v>
      </c>
      <c r="F10" s="6" t="s">
        <v>15</v>
      </c>
      <c r="G10" s="7" t="s">
        <v>28</v>
      </c>
      <c r="H10" s="6" t="s">
        <v>21</v>
      </c>
      <c r="I10" s="6" t="s">
        <v>26</v>
      </c>
      <c r="J10" s="6" t="s">
        <v>29</v>
      </c>
    </row>
    <row r="11" customFormat="false" ht="15" hidden="false" customHeight="false" outlineLevel="0" collapsed="false">
      <c r="A11" s="4" t="n">
        <v>7</v>
      </c>
      <c r="B11" s="5" t="s">
        <v>12</v>
      </c>
      <c r="C11" s="5" t="s">
        <v>27</v>
      </c>
      <c r="D11" s="5" t="s">
        <v>22</v>
      </c>
      <c r="E11" s="4" t="n">
        <v>4</v>
      </c>
      <c r="F11" s="4" t="s">
        <v>15</v>
      </c>
      <c r="G11" s="5" t="s">
        <v>25</v>
      </c>
      <c r="H11" s="4" t="s">
        <v>24</v>
      </c>
      <c r="I11" s="4" t="s">
        <v>26</v>
      </c>
      <c r="J11" s="4" t="s">
        <v>24</v>
      </c>
    </row>
    <row r="12" customFormat="false" ht="15" hidden="false" customHeight="false" outlineLevel="0" collapsed="false">
      <c r="A12" s="6" t="n">
        <v>8</v>
      </c>
      <c r="B12" s="7" t="s">
        <v>12</v>
      </c>
      <c r="C12" s="7" t="s">
        <v>13</v>
      </c>
      <c r="D12" s="7" t="s">
        <v>30</v>
      </c>
      <c r="E12" s="6" t="n">
        <v>5</v>
      </c>
      <c r="F12" s="6" t="s">
        <v>15</v>
      </c>
      <c r="G12" s="7" t="s">
        <v>28</v>
      </c>
      <c r="H12" s="6" t="s">
        <v>29</v>
      </c>
      <c r="I12" s="6" t="s">
        <v>26</v>
      </c>
      <c r="J12" s="6" t="s">
        <v>29</v>
      </c>
    </row>
    <row r="13" customFormat="false" ht="15" hidden="false" customHeight="false" outlineLevel="0" collapsed="false">
      <c r="A13" s="4" t="n">
        <v>9</v>
      </c>
      <c r="B13" s="5" t="s">
        <v>31</v>
      </c>
      <c r="C13" s="5" t="s">
        <v>13</v>
      </c>
      <c r="D13" s="5" t="s">
        <v>30</v>
      </c>
      <c r="E13" s="4" t="n">
        <v>4</v>
      </c>
      <c r="F13" s="4" t="s">
        <v>15</v>
      </c>
      <c r="G13" s="5" t="s">
        <v>32</v>
      </c>
      <c r="H13" s="4" t="s">
        <v>26</v>
      </c>
      <c r="I13" s="4" t="s">
        <v>24</v>
      </c>
      <c r="J13" s="4" t="s">
        <v>24</v>
      </c>
    </row>
    <row r="14" customFormat="false" ht="15" hidden="false" customHeight="false" outlineLevel="0" collapsed="false">
      <c r="A14" s="6" t="n">
        <v>10</v>
      </c>
      <c r="B14" s="7" t="s">
        <v>12</v>
      </c>
      <c r="C14" s="7" t="s">
        <v>13</v>
      </c>
      <c r="D14" s="7" t="s">
        <v>22</v>
      </c>
      <c r="E14" s="6" t="n">
        <v>2</v>
      </c>
      <c r="F14" s="6" t="s">
        <v>15</v>
      </c>
      <c r="G14" s="7" t="s">
        <v>16</v>
      </c>
      <c r="H14" s="6" t="s">
        <v>17</v>
      </c>
      <c r="I14" s="6" t="s">
        <v>21</v>
      </c>
      <c r="J14" s="6" t="s">
        <v>20</v>
      </c>
    </row>
    <row r="15" customFormat="false" ht="15" hidden="false" customHeight="false" outlineLevel="0" collapsed="false">
      <c r="A15" s="4" t="n">
        <v>11</v>
      </c>
      <c r="B15" s="5" t="s">
        <v>31</v>
      </c>
      <c r="C15" s="5" t="s">
        <v>33</v>
      </c>
      <c r="D15" s="5" t="s">
        <v>34</v>
      </c>
      <c r="E15" s="4" t="n">
        <v>5</v>
      </c>
      <c r="F15" s="4" t="s">
        <v>15</v>
      </c>
      <c r="G15" s="5" t="s">
        <v>35</v>
      </c>
      <c r="H15" s="4" t="s">
        <v>29</v>
      </c>
      <c r="I15" s="4" t="s">
        <v>29</v>
      </c>
      <c r="J15" s="4" t="s">
        <v>29</v>
      </c>
    </row>
    <row r="16" customFormat="false" ht="15" hidden="false" customHeight="false" outlineLevel="0" collapsed="false">
      <c r="A16" s="6" t="n">
        <v>12</v>
      </c>
      <c r="B16" s="7" t="s">
        <v>12</v>
      </c>
      <c r="C16" s="7" t="s">
        <v>13</v>
      </c>
      <c r="D16" s="7" t="s">
        <v>22</v>
      </c>
      <c r="E16" s="6" t="n">
        <v>4</v>
      </c>
      <c r="F16" s="6" t="s">
        <v>15</v>
      </c>
      <c r="G16" s="7" t="s">
        <v>36</v>
      </c>
      <c r="H16" s="6" t="s">
        <v>17</v>
      </c>
      <c r="I16" s="6" t="s">
        <v>24</v>
      </c>
      <c r="J16" s="6" t="s">
        <v>26</v>
      </c>
    </row>
    <row r="17" customFormat="false" ht="15" hidden="false" customHeight="false" outlineLevel="0" collapsed="false">
      <c r="A17" s="4" t="n">
        <v>13</v>
      </c>
      <c r="B17" s="5" t="s">
        <v>12</v>
      </c>
      <c r="C17" s="5" t="s">
        <v>13</v>
      </c>
      <c r="D17" s="5" t="s">
        <v>37</v>
      </c>
      <c r="E17" s="4" t="n">
        <v>4</v>
      </c>
      <c r="F17" s="4" t="s">
        <v>15</v>
      </c>
      <c r="G17" s="5" t="s">
        <v>38</v>
      </c>
      <c r="H17" s="4" t="s">
        <v>39</v>
      </c>
      <c r="I17" s="4" t="s">
        <v>39</v>
      </c>
      <c r="J17" s="4" t="s">
        <v>40</v>
      </c>
    </row>
    <row r="18" customFormat="false" ht="15" hidden="false" customHeight="false" outlineLevel="0" collapsed="false">
      <c r="A18" s="6" t="n">
        <v>14</v>
      </c>
      <c r="B18" s="7" t="s">
        <v>12</v>
      </c>
      <c r="C18" s="7" t="s">
        <v>13</v>
      </c>
      <c r="D18" s="7" t="s">
        <v>30</v>
      </c>
      <c r="E18" s="6" t="n">
        <v>4</v>
      </c>
      <c r="F18" s="6" t="s">
        <v>23</v>
      </c>
      <c r="G18" s="7" t="s">
        <v>24</v>
      </c>
      <c r="H18" s="6" t="s">
        <v>24</v>
      </c>
      <c r="I18" s="6" t="s">
        <v>24</v>
      </c>
      <c r="J18" s="6" t="s">
        <v>24</v>
      </c>
    </row>
    <row r="19" customFormat="false" ht="15" hidden="false" customHeight="false" outlineLevel="0" collapsed="false">
      <c r="A19" s="4" t="n">
        <v>15</v>
      </c>
      <c r="B19" s="5" t="s">
        <v>18</v>
      </c>
      <c r="C19" s="5" t="s">
        <v>33</v>
      </c>
      <c r="D19" s="5" t="s">
        <v>22</v>
      </c>
      <c r="E19" s="4" t="n">
        <v>4</v>
      </c>
      <c r="F19" s="4" t="s">
        <v>15</v>
      </c>
      <c r="G19" s="5" t="s">
        <v>19</v>
      </c>
      <c r="H19" s="4" t="s">
        <v>26</v>
      </c>
      <c r="I19" s="4" t="s">
        <v>29</v>
      </c>
      <c r="J19" s="4" t="s">
        <v>29</v>
      </c>
    </row>
    <row r="20" customFormat="false" ht="15" hidden="false" customHeight="false" outlineLevel="0" collapsed="false">
      <c r="A20" s="6" t="n">
        <v>16</v>
      </c>
      <c r="B20" s="7" t="s">
        <v>12</v>
      </c>
      <c r="C20" s="7" t="s">
        <v>13</v>
      </c>
      <c r="D20" s="7" t="s">
        <v>22</v>
      </c>
      <c r="E20" s="6" t="n">
        <v>2</v>
      </c>
      <c r="F20" s="6" t="s">
        <v>15</v>
      </c>
      <c r="G20" s="7" t="s">
        <v>19</v>
      </c>
      <c r="H20" s="6" t="s">
        <v>21</v>
      </c>
      <c r="I20" s="6" t="s">
        <v>20</v>
      </c>
      <c r="J20" s="6" t="s">
        <v>21</v>
      </c>
    </row>
    <row r="21" customFormat="false" ht="15" hidden="false" customHeight="false" outlineLevel="0" collapsed="false">
      <c r="A21" s="4" t="n">
        <v>17</v>
      </c>
      <c r="B21" s="5" t="s">
        <v>12</v>
      </c>
      <c r="C21" s="5" t="s">
        <v>13</v>
      </c>
      <c r="D21" s="5" t="s">
        <v>22</v>
      </c>
      <c r="E21" s="4" t="n">
        <v>4</v>
      </c>
      <c r="F21" s="4" t="s">
        <v>15</v>
      </c>
      <c r="G21" s="5" t="s">
        <v>41</v>
      </c>
      <c r="H21" s="4" t="s">
        <v>20</v>
      </c>
      <c r="I21" s="4" t="s">
        <v>21</v>
      </c>
      <c r="J21" s="4" t="s">
        <v>26</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8"/>
    <col collapsed="false" customWidth="true" hidden="false" outlineLevel="0" max="4" min="4" style="0" width="36"/>
    <col collapsed="false" customWidth="true" hidden="false" outlineLevel="0" max="6" min="5" style="0" width="14"/>
  </cols>
  <sheetData>
    <row r="1" customFormat="false" ht="25.5" hidden="false" customHeight="true" outlineLevel="0" collapsed="false">
      <c r="A1" s="1" t="s">
        <v>42</v>
      </c>
      <c r="B1" s="1"/>
      <c r="C1" s="1"/>
      <c r="D1" s="1"/>
      <c r="E1" s="1"/>
      <c r="F1" s="1"/>
    </row>
    <row r="3" customFormat="false" ht="15" hidden="false" customHeight="false" outlineLevel="0" collapsed="false">
      <c r="A3" s="8" t="s">
        <v>43</v>
      </c>
      <c r="B3" s="8"/>
      <c r="C3" s="8"/>
      <c r="D3" s="8"/>
      <c r="E3" s="8"/>
      <c r="F3" s="8"/>
    </row>
    <row r="4" customFormat="false" ht="15" hidden="false" customHeight="false" outlineLevel="0" collapsed="false">
      <c r="A4" s="3" t="s">
        <v>44</v>
      </c>
      <c r="B4" s="3" t="s">
        <v>45</v>
      </c>
      <c r="C4" s="3" t="s">
        <v>46</v>
      </c>
    </row>
    <row r="5" customFormat="false" ht="15" hidden="false" customHeight="false" outlineLevel="0" collapsed="false">
      <c r="A5" s="9" t="s">
        <v>47</v>
      </c>
      <c r="B5" s="4" t="n">
        <v>17</v>
      </c>
      <c r="C5" s="10" t="n">
        <f aca="false">COUNT(Données!E5:E21)</f>
        <v>17</v>
      </c>
    </row>
    <row r="6" customFormat="false" ht="15" hidden="false" customHeight="false" outlineLevel="0" collapsed="false">
      <c r="A6" s="11" t="s">
        <v>48</v>
      </c>
      <c r="B6" s="6" t="n">
        <v>2</v>
      </c>
      <c r="C6" s="12" t="n">
        <f aca="false">MIN(Données!E5:E21)</f>
        <v>2</v>
      </c>
    </row>
    <row r="7" customFormat="false" ht="15" hidden="false" customHeight="false" outlineLevel="0" collapsed="false">
      <c r="A7" s="9" t="s">
        <v>49</v>
      </c>
      <c r="B7" s="4" t="n">
        <v>5</v>
      </c>
      <c r="C7" s="10" t="n">
        <f aca="false">MAX(Données!E5:E21)</f>
        <v>5</v>
      </c>
    </row>
    <row r="8" customFormat="false" ht="15" hidden="false" customHeight="false" outlineLevel="0" collapsed="false">
      <c r="A8" s="11" t="s">
        <v>50</v>
      </c>
      <c r="B8" s="13" t="n">
        <v>3.59</v>
      </c>
      <c r="C8" s="12" t="n">
        <f aca="false">AVERAGE(Données!E5:E21)</f>
        <v>3.58823529411765</v>
      </c>
    </row>
    <row r="11" customFormat="false" ht="15" hidden="false" customHeight="false" outlineLevel="0" collapsed="false">
      <c r="A11" s="8" t="s">
        <v>51</v>
      </c>
      <c r="B11" s="8"/>
      <c r="C11" s="8"/>
      <c r="D11" s="8"/>
      <c r="E11" s="8"/>
      <c r="F11" s="8"/>
    </row>
    <row r="12" customFormat="false" ht="15" hidden="false" customHeight="false" outlineLevel="0" collapsed="false">
      <c r="A12" s="3" t="s">
        <v>52</v>
      </c>
      <c r="B12" s="3" t="s">
        <v>53</v>
      </c>
      <c r="C12" s="3" t="s">
        <v>54</v>
      </c>
      <c r="D12" s="3" t="s">
        <v>46</v>
      </c>
    </row>
    <row r="13" customFormat="false" ht="15" hidden="false" customHeight="false" outlineLevel="0" collapsed="false">
      <c r="A13" s="14" t="s">
        <v>15</v>
      </c>
      <c r="B13" s="4" t="n">
        <v>14</v>
      </c>
      <c r="C13" s="15" t="n">
        <v>82.4</v>
      </c>
      <c r="D13" s="10" t="n">
        <f aca="false">COUNTIF(Données!F5:F21,"Oui")</f>
        <v>14</v>
      </c>
    </row>
    <row r="14" customFormat="false" ht="15" hidden="false" customHeight="false" outlineLevel="0" collapsed="false">
      <c r="A14" s="16" t="s">
        <v>23</v>
      </c>
      <c r="B14" s="6" t="n">
        <v>3</v>
      </c>
      <c r="C14" s="17" t="n">
        <v>17.6</v>
      </c>
      <c r="D14" s="12" t="n">
        <f aca="false">COUNTIF(Données!F5:F21,"Non")</f>
        <v>3</v>
      </c>
    </row>
    <row r="15" customFormat="false" ht="15" hidden="false" customHeight="false" outlineLevel="0" collapsed="false">
      <c r="A15" s="11" t="s">
        <v>55</v>
      </c>
      <c r="B15" s="16" t="n">
        <v>17</v>
      </c>
      <c r="C15" s="18" t="n">
        <v>100</v>
      </c>
      <c r="D15" s="16"/>
    </row>
    <row r="17" customFormat="false" ht="15" hidden="false" customHeight="false" outlineLevel="0" collapsed="false">
      <c r="A17" s="8" t="s">
        <v>56</v>
      </c>
      <c r="B17" s="8"/>
      <c r="C17" s="8"/>
      <c r="D17" s="8"/>
      <c r="E17" s="8"/>
      <c r="F17" s="8"/>
    </row>
    <row r="18" customFormat="false" ht="15" hidden="false" customHeight="false" outlineLevel="0" collapsed="false">
      <c r="A18" s="3" t="s">
        <v>57</v>
      </c>
      <c r="B18" s="3" t="s">
        <v>58</v>
      </c>
      <c r="C18" s="3" t="s">
        <v>54</v>
      </c>
      <c r="D18" s="3" t="s">
        <v>46</v>
      </c>
    </row>
    <row r="19" customFormat="false" ht="15" hidden="false" customHeight="false" outlineLevel="0" collapsed="false">
      <c r="A19" s="9" t="s">
        <v>16</v>
      </c>
      <c r="B19" s="4" t="n">
        <v>8</v>
      </c>
      <c r="C19" s="15" t="n">
        <v>28.6</v>
      </c>
      <c r="D19" s="10" t="n">
        <f aca="false">COUNTIF(Données!G5:G21,"*Trafic*")</f>
        <v>8</v>
      </c>
    </row>
    <row r="20" customFormat="false" ht="15" hidden="false" customHeight="false" outlineLevel="0" collapsed="false">
      <c r="A20" s="11" t="s">
        <v>28</v>
      </c>
      <c r="B20" s="6" t="n">
        <v>8</v>
      </c>
      <c r="C20" s="17" t="n">
        <v>28.6</v>
      </c>
      <c r="D20" s="12" t="n">
        <f aca="false">COUNTIF(Données!G5:G21,"*Énergie*")</f>
        <v>8</v>
      </c>
    </row>
    <row r="21" customFormat="false" ht="15" hidden="false" customHeight="false" outlineLevel="0" collapsed="false">
      <c r="A21" s="9" t="s">
        <v>59</v>
      </c>
      <c r="B21" s="4" t="n">
        <v>6</v>
      </c>
      <c r="C21" s="15" t="n">
        <v>21.4</v>
      </c>
      <c r="D21" s="10" t="n">
        <f aca="false">COUNTIF(Données!G5:G21,"*Sécurité*")</f>
        <v>6</v>
      </c>
    </row>
    <row r="22" customFormat="false" ht="15" hidden="false" customHeight="false" outlineLevel="0" collapsed="false">
      <c r="A22" s="11" t="s">
        <v>60</v>
      </c>
      <c r="B22" s="6" t="n">
        <v>3</v>
      </c>
      <c r="C22" s="17" t="n">
        <v>10.7</v>
      </c>
      <c r="D22" s="12" t="n">
        <f aca="false">COUNTIF(Données!G5:G21,"*Déchets*")</f>
        <v>3</v>
      </c>
    </row>
    <row r="23" customFormat="false" ht="15" hidden="false" customHeight="false" outlineLevel="0" collapsed="false">
      <c r="A23" s="9" t="s">
        <v>35</v>
      </c>
      <c r="B23" s="4" t="n">
        <v>3</v>
      </c>
      <c r="C23" s="15" t="n">
        <v>10.7</v>
      </c>
      <c r="D23" s="10" t="n">
        <f aca="false">COUNTIF(Données!G5:G21,"*Urbanisme*")</f>
        <v>3</v>
      </c>
    </row>
  </sheetData>
  <mergeCells count="4">
    <mergeCell ref="A1:F1"/>
    <mergeCell ref="A3:F3"/>
    <mergeCell ref="A11:F11"/>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5"/>
  </cols>
  <sheetData>
    <row r="1" customFormat="false" ht="25.5" hidden="false" customHeight="true" outlineLevel="0" collapsed="false">
      <c r="A1" s="1" t="s">
        <v>61</v>
      </c>
      <c r="B1" s="1"/>
    </row>
    <row r="3" customFormat="false" ht="15" hidden="false" customHeight="false" outlineLevel="0" collapsed="false">
      <c r="A3" s="19" t="s">
        <v>62</v>
      </c>
      <c r="B3" s="19"/>
    </row>
    <row r="5" customFormat="false" ht="15" hidden="false" customHeight="false" outlineLevel="0" collapsed="false">
      <c r="A5" s="3" t="s">
        <v>63</v>
      </c>
      <c r="B5" s="3" t="s">
        <v>64</v>
      </c>
    </row>
    <row r="6" customFormat="false" ht="49.5" hidden="false" customHeight="true" outlineLevel="0" collapsed="false">
      <c r="A6" s="11" t="s">
        <v>65</v>
      </c>
      <c r="B6" s="20" t="s">
        <v>66</v>
      </c>
    </row>
    <row r="7" customFormat="false" ht="49.5" hidden="false" customHeight="true" outlineLevel="0" collapsed="false">
      <c r="A7" s="9" t="s">
        <v>67</v>
      </c>
      <c r="B7" s="21" t="s">
        <v>68</v>
      </c>
    </row>
    <row r="8" customFormat="false" ht="49.5" hidden="false" customHeight="true" outlineLevel="0" collapsed="false">
      <c r="A8" s="11" t="s">
        <v>69</v>
      </c>
      <c r="B8" s="20" t="s">
        <v>70</v>
      </c>
    </row>
    <row r="9" customFormat="false" ht="49.5" hidden="false" customHeight="true" outlineLevel="0" collapsed="false">
      <c r="A9" s="9" t="s">
        <v>71</v>
      </c>
      <c r="B9" s="21" t="s">
        <v>72</v>
      </c>
    </row>
    <row r="10" customFormat="false" ht="49.5" hidden="false" customHeight="true" outlineLevel="0" collapsed="false">
      <c r="A10" s="11" t="s">
        <v>73</v>
      </c>
      <c r="B10" s="20" t="s">
        <v>74</v>
      </c>
    </row>
  </sheetData>
  <mergeCells count="2">
    <mergeCell ref="A1:B1"/>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2026-03-09T10:50:18Z</dcterms:created>
  <dc:creator>openpyxl</dc:creator>
  <dc:description/>
  <dc:language>en-US</dc:language>
  <cp:lastModifiedBy/>
  <dcterms:modified xsi:type="dcterms:W3CDTF">2026-03-09T10:50:28Z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